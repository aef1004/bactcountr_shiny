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henaolab/Documents/R/bactcountr_shiny/data/"/>
    </mc:Choice>
  </mc:AlternateContent>
  <xr:revisionPtr revIDLastSave="0" documentId="13_ncr:1_{0C0D8F12-EF94-0E45-9220-80A0242C5781}" xr6:coauthVersionLast="46" xr6:coauthVersionMax="46" xr10:uidLastSave="{00000000-0000-0000-0000-000000000000}"/>
  <bookViews>
    <workbookView xWindow="0" yWindow="0" windowWidth="51200" windowHeight="28800" xr2:uid="{00000000-000D-0000-FFFF-FFFF00000000}"/>
  </bookViews>
  <sheets>
    <sheet name="Sheet 1" sheetId="1" r:id="rId1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2" i="1"/>
  <c r="H2" i="1"/>
  <c r="G2" i="1"/>
</calcChain>
</file>

<file path=xl/sharedStrings.xml><?xml version="1.0" encoding="utf-8"?>
<sst xmlns="http://schemas.openxmlformats.org/spreadsheetml/2006/main" count="368" uniqueCount="50">
  <si>
    <t>group</t>
  </si>
  <si>
    <t>replicate</t>
  </si>
  <si>
    <t>dilution</t>
  </si>
  <si>
    <t>CFUs</t>
  </si>
  <si>
    <t>A</t>
  </si>
  <si>
    <t>0</t>
  </si>
  <si>
    <t>48</t>
  </si>
  <si>
    <t>1</t>
  </si>
  <si>
    <t>33</t>
  </si>
  <si>
    <t>2</t>
  </si>
  <si>
    <t>5</t>
  </si>
  <si>
    <t>3</t>
  </si>
  <si>
    <t>B</t>
  </si>
  <si>
    <t>TNTC</t>
  </si>
  <si>
    <t>58</t>
  </si>
  <si>
    <t>6</t>
  </si>
  <si>
    <t>C</t>
  </si>
  <si>
    <t>81</t>
  </si>
  <si>
    <t>7</t>
  </si>
  <si>
    <t>14</t>
  </si>
  <si>
    <t>32</t>
  </si>
  <si>
    <t>21</t>
  </si>
  <si>
    <t>29</t>
  </si>
  <si>
    <t>9</t>
  </si>
  <si>
    <t>83</t>
  </si>
  <si>
    <t>36</t>
  </si>
  <si>
    <t>31</t>
  </si>
  <si>
    <t>38</t>
  </si>
  <si>
    <t>10</t>
  </si>
  <si>
    <t>13</t>
  </si>
  <si>
    <t>4</t>
  </si>
  <si>
    <t>54</t>
  </si>
  <si>
    <t>26</t>
  </si>
  <si>
    <t>50</t>
  </si>
  <si>
    <t>12</t>
  </si>
  <si>
    <t>22</t>
  </si>
  <si>
    <t>177</t>
  </si>
  <si>
    <t>40</t>
  </si>
  <si>
    <t>16</t>
  </si>
  <si>
    <t>68</t>
  </si>
  <si>
    <t>24</t>
  </si>
  <si>
    <t>20</t>
  </si>
  <si>
    <t>8</t>
  </si>
  <si>
    <t>69</t>
  </si>
  <si>
    <t>28</t>
  </si>
  <si>
    <t>34</t>
  </si>
  <si>
    <t>sample_CFUs</t>
  </si>
  <si>
    <t>% Organ</t>
  </si>
  <si>
    <t>CFUs Whole Organ</t>
  </si>
  <si>
    <t>Log10CFUs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</si>
</sst>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zoomScale="271" zoomScaleNormal="271" workbookViewId="0">
      <selection activeCell="H2" sqref="H2:H121"/>
    </sheetView>
  </sheetViews>
  <sheetFormatPr baseColWidth="10" defaultRowHeight="15" x14ac:dyDescent="0.2"/>
  <cols>
    <col min="7" max="7" width="15.33203125" customWidth="1"/>
    <col min="8" max="8" width="1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 x14ac:dyDescent="0.2">
      <c r="A2">
        <v>1</v>
      </c>
      <c r="B2" t="s">
        <v>4</v>
      </c>
      <c r="C2" t="s">
        <v>5</v>
      </c>
      <c r="D2" t="s">
        <v>6</v>
      </c>
      <c r="E2">
        <f>D2*(5^C2)*10*0.5</f>
        <v>240</v>
      </c>
      <c r="F2">
        <v>0.5</v>
      </c>
      <c r="G2">
        <f>E2/F2</f>
        <v>480</v>
      </c>
      <c r="H2">
        <f>LOG(G2)</f>
        <v>2.6812412373755872</v>
      </c>
    </row>
    <row r="3" spans="1:8" x14ac:dyDescent="0.2">
      <c r="A3">
        <v>1</v>
      </c>
      <c r="B3" t="s">
        <v>4</v>
      </c>
      <c r="C3" t="s">
        <v>7</v>
      </c>
      <c r="D3" t="s">
        <v>8</v>
      </c>
      <c r="E3">
        <f t="shared" ref="E3:E66" si="0">D3*(5^C3)*10*0.5</f>
        <v>825</v>
      </c>
      <c r="F3">
        <v>0.5</v>
      </c>
      <c r="G3">
        <f t="shared" ref="G3:G66" si="1">E3/F3</f>
        <v>1650</v>
      </c>
      <c r="H3">
        <f t="shared" ref="H3:H66" si="2">LOG(G3)</f>
        <v>3.2174839442139063</v>
      </c>
    </row>
    <row r="4" spans="1:8" x14ac:dyDescent="0.2">
      <c r="A4">
        <v>1</v>
      </c>
      <c r="B4" t="s">
        <v>4</v>
      </c>
      <c r="C4" t="s">
        <v>9</v>
      </c>
      <c r="D4" t="s">
        <v>10</v>
      </c>
      <c r="E4">
        <f t="shared" si="0"/>
        <v>625</v>
      </c>
      <c r="F4">
        <v>0.5</v>
      </c>
      <c r="G4">
        <f t="shared" si="1"/>
        <v>1250</v>
      </c>
      <c r="H4">
        <f t="shared" si="2"/>
        <v>3.0969100130080562</v>
      </c>
    </row>
    <row r="5" spans="1:8" x14ac:dyDescent="0.2">
      <c r="A5">
        <v>1</v>
      </c>
      <c r="B5" t="s">
        <v>4</v>
      </c>
      <c r="C5" t="s">
        <v>11</v>
      </c>
      <c r="D5" t="s">
        <v>5</v>
      </c>
      <c r="E5">
        <f t="shared" si="0"/>
        <v>0</v>
      </c>
      <c r="F5">
        <v>0.5</v>
      </c>
      <c r="G5">
        <f t="shared" si="1"/>
        <v>0</v>
      </c>
      <c r="H5" t="e">
        <f t="shared" si="2"/>
        <v>#NUM!</v>
      </c>
    </row>
    <row r="6" spans="1:8" x14ac:dyDescent="0.2">
      <c r="A6">
        <v>1</v>
      </c>
      <c r="B6" t="s">
        <v>12</v>
      </c>
      <c r="C6" t="s">
        <v>5</v>
      </c>
      <c r="D6" t="s">
        <v>13</v>
      </c>
      <c r="E6" t="e">
        <f t="shared" si="0"/>
        <v>#VALUE!</v>
      </c>
      <c r="F6">
        <v>0.5</v>
      </c>
      <c r="G6" t="e">
        <f t="shared" si="1"/>
        <v>#VALUE!</v>
      </c>
      <c r="H6" t="e">
        <f t="shared" si="2"/>
        <v>#VALUE!</v>
      </c>
    </row>
    <row r="7" spans="1:8" x14ac:dyDescent="0.2">
      <c r="A7">
        <v>1</v>
      </c>
      <c r="B7" t="s">
        <v>12</v>
      </c>
      <c r="C7" t="s">
        <v>7</v>
      </c>
      <c r="D7" t="s">
        <v>13</v>
      </c>
      <c r="E7" t="e">
        <f t="shared" si="0"/>
        <v>#VALUE!</v>
      </c>
      <c r="F7">
        <v>0.5</v>
      </c>
      <c r="G7" t="e">
        <f t="shared" si="1"/>
        <v>#VALUE!</v>
      </c>
      <c r="H7" t="e">
        <f t="shared" si="2"/>
        <v>#VALUE!</v>
      </c>
    </row>
    <row r="8" spans="1:8" x14ac:dyDescent="0.2">
      <c r="A8">
        <v>1</v>
      </c>
      <c r="B8" t="s">
        <v>12</v>
      </c>
      <c r="C8" t="s">
        <v>9</v>
      </c>
      <c r="D8" t="s">
        <v>14</v>
      </c>
      <c r="E8">
        <f t="shared" si="0"/>
        <v>7250</v>
      </c>
      <c r="F8">
        <v>0.5</v>
      </c>
      <c r="G8">
        <f t="shared" si="1"/>
        <v>14500</v>
      </c>
      <c r="H8">
        <f t="shared" si="2"/>
        <v>4.1613680022349753</v>
      </c>
    </row>
    <row r="9" spans="1:8" x14ac:dyDescent="0.2">
      <c r="A9">
        <v>1</v>
      </c>
      <c r="B9" t="s">
        <v>12</v>
      </c>
      <c r="C9" t="s">
        <v>11</v>
      </c>
      <c r="D9" t="s">
        <v>15</v>
      </c>
      <c r="E9">
        <f t="shared" si="0"/>
        <v>3750</v>
      </c>
      <c r="F9">
        <v>0.5</v>
      </c>
      <c r="G9">
        <f t="shared" si="1"/>
        <v>7500</v>
      </c>
      <c r="H9">
        <f t="shared" si="2"/>
        <v>3.8750612633917001</v>
      </c>
    </row>
    <row r="10" spans="1:8" x14ac:dyDescent="0.2">
      <c r="A10">
        <v>1</v>
      </c>
      <c r="B10" t="s">
        <v>16</v>
      </c>
      <c r="C10" t="s">
        <v>5</v>
      </c>
      <c r="D10" t="s">
        <v>13</v>
      </c>
      <c r="E10" t="e">
        <f t="shared" si="0"/>
        <v>#VALUE!</v>
      </c>
      <c r="F10">
        <v>0.5</v>
      </c>
      <c r="G10" t="e">
        <f t="shared" si="1"/>
        <v>#VALUE!</v>
      </c>
      <c r="H10" t="e">
        <f t="shared" si="2"/>
        <v>#VALUE!</v>
      </c>
    </row>
    <row r="11" spans="1:8" x14ac:dyDescent="0.2">
      <c r="A11">
        <v>1</v>
      </c>
      <c r="B11" t="s">
        <v>16</v>
      </c>
      <c r="C11" t="s">
        <v>7</v>
      </c>
      <c r="D11" t="s">
        <v>17</v>
      </c>
      <c r="E11">
        <f t="shared" si="0"/>
        <v>2025</v>
      </c>
      <c r="F11">
        <v>0.5</v>
      </c>
      <c r="G11">
        <f t="shared" si="1"/>
        <v>4050</v>
      </c>
      <c r="H11">
        <f t="shared" si="2"/>
        <v>3.6074550232146687</v>
      </c>
    </row>
    <row r="12" spans="1:8" x14ac:dyDescent="0.2">
      <c r="A12">
        <v>1</v>
      </c>
      <c r="B12" t="s">
        <v>16</v>
      </c>
      <c r="C12" t="s">
        <v>9</v>
      </c>
      <c r="D12" t="s">
        <v>18</v>
      </c>
      <c r="E12">
        <f t="shared" si="0"/>
        <v>875</v>
      </c>
      <c r="F12">
        <v>0.5</v>
      </c>
      <c r="G12">
        <f t="shared" si="1"/>
        <v>1750</v>
      </c>
      <c r="H12">
        <f t="shared" si="2"/>
        <v>3.2430380486862944</v>
      </c>
    </row>
    <row r="13" spans="1:8" x14ac:dyDescent="0.2">
      <c r="A13">
        <v>1</v>
      </c>
      <c r="B13" t="s">
        <v>16</v>
      </c>
      <c r="C13" t="s">
        <v>11</v>
      </c>
      <c r="D13" t="s">
        <v>9</v>
      </c>
      <c r="E13">
        <f t="shared" si="0"/>
        <v>1250</v>
      </c>
      <c r="F13">
        <v>0.5</v>
      </c>
      <c r="G13">
        <f t="shared" si="1"/>
        <v>2500</v>
      </c>
      <c r="H13">
        <f t="shared" si="2"/>
        <v>3.3979400086720375</v>
      </c>
    </row>
    <row r="14" spans="1:8" x14ac:dyDescent="0.2">
      <c r="A14">
        <v>2</v>
      </c>
      <c r="B14" t="s">
        <v>4</v>
      </c>
      <c r="C14" t="s">
        <v>5</v>
      </c>
      <c r="D14" t="s">
        <v>13</v>
      </c>
      <c r="E14" t="e">
        <f t="shared" si="0"/>
        <v>#VALUE!</v>
      </c>
      <c r="F14">
        <v>0.5</v>
      </c>
      <c r="G14" t="e">
        <f t="shared" si="1"/>
        <v>#VALUE!</v>
      </c>
      <c r="H14" t="e">
        <f t="shared" si="2"/>
        <v>#VALUE!</v>
      </c>
    </row>
    <row r="15" spans="1:8" x14ac:dyDescent="0.2">
      <c r="A15">
        <v>2</v>
      </c>
      <c r="B15" t="s">
        <v>4</v>
      </c>
      <c r="C15" t="s">
        <v>7</v>
      </c>
      <c r="D15" t="s">
        <v>9</v>
      </c>
      <c r="E15">
        <f t="shared" si="0"/>
        <v>50</v>
      </c>
      <c r="F15">
        <v>0.5</v>
      </c>
      <c r="G15">
        <f t="shared" si="1"/>
        <v>100</v>
      </c>
      <c r="H15">
        <f t="shared" si="2"/>
        <v>2</v>
      </c>
    </row>
    <row r="16" spans="1:8" x14ac:dyDescent="0.2">
      <c r="A16">
        <v>2</v>
      </c>
      <c r="B16" t="s">
        <v>4</v>
      </c>
      <c r="C16" t="s">
        <v>9</v>
      </c>
      <c r="D16" t="s">
        <v>5</v>
      </c>
      <c r="E16">
        <f t="shared" si="0"/>
        <v>0</v>
      </c>
      <c r="F16">
        <v>0.5</v>
      </c>
      <c r="G16">
        <f t="shared" si="1"/>
        <v>0</v>
      </c>
      <c r="H16" t="e">
        <f t="shared" si="2"/>
        <v>#NUM!</v>
      </c>
    </row>
    <row r="17" spans="1:8" x14ac:dyDescent="0.2">
      <c r="A17">
        <v>2</v>
      </c>
      <c r="B17" t="s">
        <v>4</v>
      </c>
      <c r="C17" t="s">
        <v>11</v>
      </c>
      <c r="D17" t="s">
        <v>7</v>
      </c>
      <c r="E17">
        <f t="shared" si="0"/>
        <v>625</v>
      </c>
      <c r="F17">
        <v>0.5</v>
      </c>
      <c r="G17">
        <f t="shared" si="1"/>
        <v>1250</v>
      </c>
      <c r="H17">
        <f t="shared" si="2"/>
        <v>3.0969100130080562</v>
      </c>
    </row>
    <row r="18" spans="1:8" x14ac:dyDescent="0.2">
      <c r="A18">
        <v>2</v>
      </c>
      <c r="B18" t="s">
        <v>12</v>
      </c>
      <c r="C18" t="s">
        <v>5</v>
      </c>
      <c r="D18" t="s">
        <v>19</v>
      </c>
      <c r="E18">
        <f t="shared" si="0"/>
        <v>70</v>
      </c>
      <c r="F18">
        <v>0.5</v>
      </c>
      <c r="G18">
        <f t="shared" si="1"/>
        <v>140</v>
      </c>
      <c r="H18">
        <f t="shared" si="2"/>
        <v>2.1461280356782382</v>
      </c>
    </row>
    <row r="19" spans="1:8" x14ac:dyDescent="0.2">
      <c r="A19">
        <v>2</v>
      </c>
      <c r="B19" t="s">
        <v>12</v>
      </c>
      <c r="C19" t="s">
        <v>7</v>
      </c>
      <c r="D19" t="s">
        <v>5</v>
      </c>
      <c r="E19">
        <f t="shared" si="0"/>
        <v>0</v>
      </c>
      <c r="F19">
        <v>0.5</v>
      </c>
      <c r="G19">
        <f t="shared" si="1"/>
        <v>0</v>
      </c>
      <c r="H19" t="e">
        <f t="shared" si="2"/>
        <v>#NUM!</v>
      </c>
    </row>
    <row r="20" spans="1:8" x14ac:dyDescent="0.2">
      <c r="A20">
        <v>2</v>
      </c>
      <c r="B20" t="s">
        <v>12</v>
      </c>
      <c r="C20" t="s">
        <v>9</v>
      </c>
      <c r="D20" t="s">
        <v>5</v>
      </c>
      <c r="E20">
        <f t="shared" si="0"/>
        <v>0</v>
      </c>
      <c r="F20">
        <v>0.5</v>
      </c>
      <c r="G20">
        <f t="shared" si="1"/>
        <v>0</v>
      </c>
      <c r="H20" t="e">
        <f t="shared" si="2"/>
        <v>#NUM!</v>
      </c>
    </row>
    <row r="21" spans="1:8" x14ac:dyDescent="0.2">
      <c r="A21">
        <v>2</v>
      </c>
      <c r="B21" t="s">
        <v>12</v>
      </c>
      <c r="C21" t="s">
        <v>11</v>
      </c>
      <c r="D21" t="s">
        <v>5</v>
      </c>
      <c r="E21">
        <f t="shared" si="0"/>
        <v>0</v>
      </c>
      <c r="F21">
        <v>0.5</v>
      </c>
      <c r="G21">
        <f t="shared" si="1"/>
        <v>0</v>
      </c>
      <c r="H21" t="e">
        <f t="shared" si="2"/>
        <v>#NUM!</v>
      </c>
    </row>
    <row r="22" spans="1:8" x14ac:dyDescent="0.2">
      <c r="A22">
        <v>2</v>
      </c>
      <c r="B22" t="s">
        <v>16</v>
      </c>
      <c r="C22" t="s">
        <v>5</v>
      </c>
      <c r="D22" t="s">
        <v>13</v>
      </c>
      <c r="E22" t="e">
        <f t="shared" si="0"/>
        <v>#VALUE!</v>
      </c>
      <c r="F22">
        <v>0.5</v>
      </c>
      <c r="G22" t="e">
        <f t="shared" si="1"/>
        <v>#VALUE!</v>
      </c>
      <c r="H22" t="e">
        <f t="shared" si="2"/>
        <v>#VALUE!</v>
      </c>
    </row>
    <row r="23" spans="1:8" x14ac:dyDescent="0.2">
      <c r="A23">
        <v>2</v>
      </c>
      <c r="B23" t="s">
        <v>16</v>
      </c>
      <c r="C23" t="s">
        <v>7</v>
      </c>
      <c r="D23" t="s">
        <v>20</v>
      </c>
      <c r="E23">
        <f t="shared" si="0"/>
        <v>800</v>
      </c>
      <c r="F23">
        <v>0.5</v>
      </c>
      <c r="G23">
        <f t="shared" si="1"/>
        <v>1600</v>
      </c>
      <c r="H23">
        <f t="shared" si="2"/>
        <v>3.2041199826559246</v>
      </c>
    </row>
    <row r="24" spans="1:8" x14ac:dyDescent="0.2">
      <c r="A24">
        <v>2</v>
      </c>
      <c r="B24" t="s">
        <v>16</v>
      </c>
      <c r="C24" t="s">
        <v>9</v>
      </c>
      <c r="D24" t="s">
        <v>18</v>
      </c>
      <c r="E24">
        <f t="shared" si="0"/>
        <v>875</v>
      </c>
      <c r="F24">
        <v>0.5</v>
      </c>
      <c r="G24">
        <f t="shared" si="1"/>
        <v>1750</v>
      </c>
      <c r="H24">
        <f t="shared" si="2"/>
        <v>3.2430380486862944</v>
      </c>
    </row>
    <row r="25" spans="1:8" x14ac:dyDescent="0.2">
      <c r="A25">
        <v>2</v>
      </c>
      <c r="B25" t="s">
        <v>16</v>
      </c>
      <c r="C25" t="s">
        <v>11</v>
      </c>
      <c r="D25" t="s">
        <v>7</v>
      </c>
      <c r="E25">
        <f t="shared" si="0"/>
        <v>625</v>
      </c>
      <c r="F25">
        <v>0.5</v>
      </c>
      <c r="G25">
        <f t="shared" si="1"/>
        <v>1250</v>
      </c>
      <c r="H25">
        <f t="shared" si="2"/>
        <v>3.0969100130080562</v>
      </c>
    </row>
    <row r="26" spans="1:8" x14ac:dyDescent="0.2">
      <c r="A26">
        <v>3</v>
      </c>
      <c r="B26" t="s">
        <v>4</v>
      </c>
      <c r="C26" t="s">
        <v>5</v>
      </c>
      <c r="D26" t="s">
        <v>13</v>
      </c>
      <c r="E26" t="e">
        <f t="shared" si="0"/>
        <v>#VALUE!</v>
      </c>
      <c r="F26">
        <v>0.5</v>
      </c>
      <c r="G26" t="e">
        <f t="shared" si="1"/>
        <v>#VALUE!</v>
      </c>
      <c r="H26" t="e">
        <f t="shared" si="2"/>
        <v>#VALUE!</v>
      </c>
    </row>
    <row r="27" spans="1:8" x14ac:dyDescent="0.2">
      <c r="A27">
        <v>3</v>
      </c>
      <c r="B27" t="s">
        <v>4</v>
      </c>
      <c r="C27" t="s">
        <v>7</v>
      </c>
      <c r="D27" t="s">
        <v>21</v>
      </c>
      <c r="E27">
        <f t="shared" si="0"/>
        <v>525</v>
      </c>
      <c r="F27">
        <v>0.5</v>
      </c>
      <c r="G27">
        <f t="shared" si="1"/>
        <v>1050</v>
      </c>
      <c r="H27">
        <f t="shared" si="2"/>
        <v>3.0211892990699383</v>
      </c>
    </row>
    <row r="28" spans="1:8" x14ac:dyDescent="0.2">
      <c r="A28">
        <v>3</v>
      </c>
      <c r="B28" t="s">
        <v>4</v>
      </c>
      <c r="C28" t="s">
        <v>9</v>
      </c>
      <c r="D28" t="s">
        <v>11</v>
      </c>
      <c r="E28">
        <f t="shared" si="0"/>
        <v>375</v>
      </c>
      <c r="F28">
        <v>0.5</v>
      </c>
      <c r="G28">
        <f t="shared" si="1"/>
        <v>750</v>
      </c>
      <c r="H28">
        <f t="shared" si="2"/>
        <v>2.8750612633917001</v>
      </c>
    </row>
    <row r="29" spans="1:8" x14ac:dyDescent="0.2">
      <c r="A29">
        <v>3</v>
      </c>
      <c r="B29" t="s">
        <v>4</v>
      </c>
      <c r="C29" t="s">
        <v>11</v>
      </c>
      <c r="D29" t="s">
        <v>7</v>
      </c>
      <c r="E29">
        <f t="shared" si="0"/>
        <v>625</v>
      </c>
      <c r="F29">
        <v>0.5</v>
      </c>
      <c r="G29">
        <f t="shared" si="1"/>
        <v>1250</v>
      </c>
      <c r="H29">
        <f t="shared" si="2"/>
        <v>3.0969100130080562</v>
      </c>
    </row>
    <row r="30" spans="1:8" x14ac:dyDescent="0.2">
      <c r="A30">
        <v>3</v>
      </c>
      <c r="B30" t="s">
        <v>12</v>
      </c>
      <c r="C30" t="s">
        <v>5</v>
      </c>
      <c r="D30" t="s">
        <v>13</v>
      </c>
      <c r="E30" t="e">
        <f t="shared" si="0"/>
        <v>#VALUE!</v>
      </c>
      <c r="F30">
        <v>0.5</v>
      </c>
      <c r="G30" t="e">
        <f t="shared" si="1"/>
        <v>#VALUE!</v>
      </c>
      <c r="H30" t="e">
        <f t="shared" si="2"/>
        <v>#VALUE!</v>
      </c>
    </row>
    <row r="31" spans="1:8" x14ac:dyDescent="0.2">
      <c r="A31">
        <v>3</v>
      </c>
      <c r="B31" t="s">
        <v>12</v>
      </c>
      <c r="C31" t="s">
        <v>7</v>
      </c>
      <c r="D31" t="s">
        <v>13</v>
      </c>
      <c r="E31" t="e">
        <f t="shared" si="0"/>
        <v>#VALUE!</v>
      </c>
      <c r="F31">
        <v>0.5</v>
      </c>
      <c r="G31" t="e">
        <f t="shared" si="1"/>
        <v>#VALUE!</v>
      </c>
      <c r="H31" t="e">
        <f t="shared" si="2"/>
        <v>#VALUE!</v>
      </c>
    </row>
    <row r="32" spans="1:8" x14ac:dyDescent="0.2">
      <c r="A32">
        <v>3</v>
      </c>
      <c r="B32" t="s">
        <v>12</v>
      </c>
      <c r="C32" t="s">
        <v>9</v>
      </c>
      <c r="D32" t="s">
        <v>22</v>
      </c>
      <c r="E32">
        <f t="shared" si="0"/>
        <v>3625</v>
      </c>
      <c r="F32">
        <v>0.5</v>
      </c>
      <c r="G32">
        <f t="shared" si="1"/>
        <v>7250</v>
      </c>
      <c r="H32">
        <f t="shared" si="2"/>
        <v>3.8603380065709936</v>
      </c>
    </row>
    <row r="33" spans="1:8" x14ac:dyDescent="0.2">
      <c r="A33">
        <v>3</v>
      </c>
      <c r="B33" t="s">
        <v>12</v>
      </c>
      <c r="C33" t="s">
        <v>11</v>
      </c>
      <c r="D33" t="s">
        <v>23</v>
      </c>
      <c r="E33">
        <f t="shared" si="0"/>
        <v>5625</v>
      </c>
      <c r="F33">
        <v>0.5</v>
      </c>
      <c r="G33">
        <f t="shared" si="1"/>
        <v>11250</v>
      </c>
      <c r="H33">
        <f t="shared" si="2"/>
        <v>4.0511525224473814</v>
      </c>
    </row>
    <row r="34" spans="1:8" x14ac:dyDescent="0.2">
      <c r="A34">
        <v>3</v>
      </c>
      <c r="B34" t="s">
        <v>16</v>
      </c>
      <c r="C34" t="s">
        <v>5</v>
      </c>
      <c r="D34" t="s">
        <v>13</v>
      </c>
      <c r="E34" t="e">
        <f t="shared" si="0"/>
        <v>#VALUE!</v>
      </c>
      <c r="F34">
        <v>0.5</v>
      </c>
      <c r="G34" t="e">
        <f t="shared" si="1"/>
        <v>#VALUE!</v>
      </c>
      <c r="H34" t="e">
        <f t="shared" si="2"/>
        <v>#VALUE!</v>
      </c>
    </row>
    <row r="35" spans="1:8" x14ac:dyDescent="0.2">
      <c r="A35">
        <v>3</v>
      </c>
      <c r="B35" t="s">
        <v>16</v>
      </c>
      <c r="C35" t="s">
        <v>7</v>
      </c>
      <c r="D35" t="s">
        <v>24</v>
      </c>
      <c r="E35">
        <f t="shared" si="0"/>
        <v>2075</v>
      </c>
      <c r="F35">
        <v>0.5</v>
      </c>
      <c r="G35">
        <f t="shared" si="1"/>
        <v>4150</v>
      </c>
      <c r="H35">
        <f t="shared" si="2"/>
        <v>3.6180480967120925</v>
      </c>
    </row>
    <row r="36" spans="1:8" x14ac:dyDescent="0.2">
      <c r="A36">
        <v>3</v>
      </c>
      <c r="B36" t="s">
        <v>16</v>
      </c>
      <c r="C36" t="s">
        <v>9</v>
      </c>
      <c r="D36" t="s">
        <v>23</v>
      </c>
      <c r="E36">
        <f t="shared" si="0"/>
        <v>1125</v>
      </c>
      <c r="F36">
        <v>0.5</v>
      </c>
      <c r="G36">
        <f t="shared" si="1"/>
        <v>2250</v>
      </c>
      <c r="H36">
        <f t="shared" si="2"/>
        <v>3.3521825181113627</v>
      </c>
    </row>
    <row r="37" spans="1:8" x14ac:dyDescent="0.2">
      <c r="A37">
        <v>3</v>
      </c>
      <c r="B37" t="s">
        <v>16</v>
      </c>
      <c r="C37" t="s">
        <v>11</v>
      </c>
      <c r="D37" t="s">
        <v>18</v>
      </c>
      <c r="E37">
        <f t="shared" si="0"/>
        <v>4375</v>
      </c>
      <c r="F37">
        <v>0.5</v>
      </c>
      <c r="G37">
        <f t="shared" si="1"/>
        <v>8750</v>
      </c>
      <c r="H37">
        <f t="shared" si="2"/>
        <v>3.9420080530223132</v>
      </c>
    </row>
    <row r="38" spans="1:8" x14ac:dyDescent="0.2">
      <c r="A38">
        <v>4</v>
      </c>
      <c r="B38" t="s">
        <v>4</v>
      </c>
      <c r="C38" t="s">
        <v>5</v>
      </c>
      <c r="D38" t="s">
        <v>13</v>
      </c>
      <c r="E38" t="e">
        <f t="shared" si="0"/>
        <v>#VALUE!</v>
      </c>
      <c r="F38">
        <v>0.5</v>
      </c>
      <c r="G38" t="e">
        <f t="shared" si="1"/>
        <v>#VALUE!</v>
      </c>
      <c r="H38" t="e">
        <f t="shared" si="2"/>
        <v>#VALUE!</v>
      </c>
    </row>
    <row r="39" spans="1:8" x14ac:dyDescent="0.2">
      <c r="A39">
        <v>4</v>
      </c>
      <c r="B39" t="s">
        <v>4</v>
      </c>
      <c r="C39" t="s">
        <v>7</v>
      </c>
      <c r="D39" t="s">
        <v>25</v>
      </c>
      <c r="E39">
        <f t="shared" si="0"/>
        <v>900</v>
      </c>
      <c r="F39">
        <v>0.5</v>
      </c>
      <c r="G39">
        <f t="shared" si="1"/>
        <v>1800</v>
      </c>
      <c r="H39">
        <f t="shared" si="2"/>
        <v>3.255272505103306</v>
      </c>
    </row>
    <row r="40" spans="1:8" x14ac:dyDescent="0.2">
      <c r="A40">
        <v>4</v>
      </c>
      <c r="B40" t="s">
        <v>4</v>
      </c>
      <c r="C40" t="s">
        <v>9</v>
      </c>
      <c r="D40" t="s">
        <v>15</v>
      </c>
      <c r="E40">
        <f t="shared" si="0"/>
        <v>750</v>
      </c>
      <c r="F40">
        <v>0.5</v>
      </c>
      <c r="G40">
        <f t="shared" si="1"/>
        <v>1500</v>
      </c>
      <c r="H40">
        <f t="shared" si="2"/>
        <v>3.1760912590556813</v>
      </c>
    </row>
    <row r="41" spans="1:8" x14ac:dyDescent="0.2">
      <c r="A41">
        <v>4</v>
      </c>
      <c r="B41" t="s">
        <v>4</v>
      </c>
      <c r="C41" t="s">
        <v>11</v>
      </c>
      <c r="D41" t="s">
        <v>5</v>
      </c>
      <c r="E41">
        <f t="shared" si="0"/>
        <v>0</v>
      </c>
      <c r="F41">
        <v>0.5</v>
      </c>
      <c r="G41">
        <f t="shared" si="1"/>
        <v>0</v>
      </c>
      <c r="H41" t="e">
        <f t="shared" si="2"/>
        <v>#NUM!</v>
      </c>
    </row>
    <row r="42" spans="1:8" x14ac:dyDescent="0.2">
      <c r="A42">
        <v>4</v>
      </c>
      <c r="B42" t="s">
        <v>12</v>
      </c>
      <c r="C42" t="s">
        <v>5</v>
      </c>
      <c r="D42" t="s">
        <v>13</v>
      </c>
      <c r="E42" t="e">
        <f t="shared" si="0"/>
        <v>#VALUE!</v>
      </c>
      <c r="F42">
        <v>0.5</v>
      </c>
      <c r="G42" t="e">
        <f t="shared" si="1"/>
        <v>#VALUE!</v>
      </c>
      <c r="H42" t="e">
        <f t="shared" si="2"/>
        <v>#VALUE!</v>
      </c>
    </row>
    <row r="43" spans="1:8" x14ac:dyDescent="0.2">
      <c r="A43">
        <v>4</v>
      </c>
      <c r="B43" t="s">
        <v>12</v>
      </c>
      <c r="C43" t="s">
        <v>7</v>
      </c>
      <c r="D43" t="s">
        <v>26</v>
      </c>
      <c r="E43">
        <f t="shared" si="0"/>
        <v>775</v>
      </c>
      <c r="F43">
        <v>0.5</v>
      </c>
      <c r="G43">
        <f t="shared" si="1"/>
        <v>1550</v>
      </c>
      <c r="H43">
        <f t="shared" si="2"/>
        <v>3.1903316981702914</v>
      </c>
    </row>
    <row r="44" spans="1:8" x14ac:dyDescent="0.2">
      <c r="A44">
        <v>4</v>
      </c>
      <c r="B44" t="s">
        <v>12</v>
      </c>
      <c r="C44" t="s">
        <v>9</v>
      </c>
      <c r="D44" t="s">
        <v>23</v>
      </c>
      <c r="E44">
        <f t="shared" si="0"/>
        <v>1125</v>
      </c>
      <c r="F44">
        <v>0.5</v>
      </c>
      <c r="G44">
        <f t="shared" si="1"/>
        <v>2250</v>
      </c>
      <c r="H44">
        <f t="shared" si="2"/>
        <v>3.3521825181113627</v>
      </c>
    </row>
    <row r="45" spans="1:8" x14ac:dyDescent="0.2">
      <c r="A45">
        <v>4</v>
      </c>
      <c r="B45" t="s">
        <v>12</v>
      </c>
      <c r="C45" t="s">
        <v>11</v>
      </c>
      <c r="D45" t="s">
        <v>7</v>
      </c>
      <c r="E45">
        <f t="shared" si="0"/>
        <v>625</v>
      </c>
      <c r="F45">
        <v>0.5</v>
      </c>
      <c r="G45">
        <f t="shared" si="1"/>
        <v>1250</v>
      </c>
      <c r="H45">
        <f t="shared" si="2"/>
        <v>3.0969100130080562</v>
      </c>
    </row>
    <row r="46" spans="1:8" x14ac:dyDescent="0.2">
      <c r="A46">
        <v>4</v>
      </c>
      <c r="B46" t="s">
        <v>16</v>
      </c>
      <c r="C46" t="s">
        <v>5</v>
      </c>
      <c r="D46" t="s">
        <v>13</v>
      </c>
      <c r="E46" t="e">
        <f t="shared" si="0"/>
        <v>#VALUE!</v>
      </c>
      <c r="F46">
        <v>0.5</v>
      </c>
      <c r="G46" t="e">
        <f t="shared" si="1"/>
        <v>#VALUE!</v>
      </c>
      <c r="H46" t="e">
        <f t="shared" si="2"/>
        <v>#VALUE!</v>
      </c>
    </row>
    <row r="47" spans="1:8" x14ac:dyDescent="0.2">
      <c r="A47">
        <v>4</v>
      </c>
      <c r="B47" t="s">
        <v>16</v>
      </c>
      <c r="C47" t="s">
        <v>7</v>
      </c>
      <c r="D47" t="s">
        <v>27</v>
      </c>
      <c r="E47">
        <f t="shared" si="0"/>
        <v>950</v>
      </c>
      <c r="F47">
        <v>0.5</v>
      </c>
      <c r="G47">
        <f t="shared" si="1"/>
        <v>1900</v>
      </c>
      <c r="H47">
        <f t="shared" si="2"/>
        <v>3.2787536009528289</v>
      </c>
    </row>
    <row r="48" spans="1:8" x14ac:dyDescent="0.2">
      <c r="A48">
        <v>4</v>
      </c>
      <c r="B48" t="s">
        <v>16</v>
      </c>
      <c r="C48" t="s">
        <v>9</v>
      </c>
      <c r="D48" t="s">
        <v>11</v>
      </c>
      <c r="E48">
        <f t="shared" si="0"/>
        <v>375</v>
      </c>
      <c r="F48">
        <v>0.5</v>
      </c>
      <c r="G48">
        <f t="shared" si="1"/>
        <v>750</v>
      </c>
      <c r="H48">
        <f t="shared" si="2"/>
        <v>2.8750612633917001</v>
      </c>
    </row>
    <row r="49" spans="1:8" x14ac:dyDescent="0.2">
      <c r="A49">
        <v>4</v>
      </c>
      <c r="B49" t="s">
        <v>16</v>
      </c>
      <c r="C49" t="s">
        <v>11</v>
      </c>
      <c r="D49" t="s">
        <v>11</v>
      </c>
      <c r="E49">
        <f t="shared" si="0"/>
        <v>1875</v>
      </c>
      <c r="F49">
        <v>0.5</v>
      </c>
      <c r="G49">
        <f t="shared" si="1"/>
        <v>3750</v>
      </c>
      <c r="H49">
        <f t="shared" si="2"/>
        <v>3.5740312677277188</v>
      </c>
    </row>
    <row r="50" spans="1:8" x14ac:dyDescent="0.2">
      <c r="A50">
        <v>5</v>
      </c>
      <c r="B50" t="s">
        <v>4</v>
      </c>
      <c r="C50" t="s">
        <v>5</v>
      </c>
      <c r="D50" t="s">
        <v>28</v>
      </c>
      <c r="E50">
        <f t="shared" si="0"/>
        <v>50</v>
      </c>
      <c r="F50">
        <v>0.5</v>
      </c>
      <c r="G50">
        <f t="shared" si="1"/>
        <v>100</v>
      </c>
      <c r="H50">
        <f t="shared" si="2"/>
        <v>2</v>
      </c>
    </row>
    <row r="51" spans="1:8" x14ac:dyDescent="0.2">
      <c r="A51">
        <v>5</v>
      </c>
      <c r="B51" t="s">
        <v>4</v>
      </c>
      <c r="C51" t="s">
        <v>7</v>
      </c>
      <c r="D51" t="s">
        <v>7</v>
      </c>
      <c r="E51">
        <f t="shared" si="0"/>
        <v>25</v>
      </c>
      <c r="F51">
        <v>0.5</v>
      </c>
      <c r="G51">
        <f t="shared" si="1"/>
        <v>50</v>
      </c>
      <c r="H51">
        <f t="shared" si="2"/>
        <v>1.6989700043360187</v>
      </c>
    </row>
    <row r="52" spans="1:8" x14ac:dyDescent="0.2">
      <c r="A52">
        <v>5</v>
      </c>
      <c r="B52" t="s">
        <v>4</v>
      </c>
      <c r="C52" t="s">
        <v>9</v>
      </c>
      <c r="D52" t="s">
        <v>5</v>
      </c>
      <c r="E52">
        <f t="shared" si="0"/>
        <v>0</v>
      </c>
      <c r="F52">
        <v>0.5</v>
      </c>
      <c r="G52">
        <f t="shared" si="1"/>
        <v>0</v>
      </c>
      <c r="H52" t="e">
        <f t="shared" si="2"/>
        <v>#NUM!</v>
      </c>
    </row>
    <row r="53" spans="1:8" x14ac:dyDescent="0.2">
      <c r="A53">
        <v>5</v>
      </c>
      <c r="B53" t="s">
        <v>4</v>
      </c>
      <c r="C53" t="s">
        <v>11</v>
      </c>
      <c r="D53" t="s">
        <v>5</v>
      </c>
      <c r="E53">
        <f t="shared" si="0"/>
        <v>0</v>
      </c>
      <c r="F53">
        <v>0.5</v>
      </c>
      <c r="G53">
        <f t="shared" si="1"/>
        <v>0</v>
      </c>
      <c r="H53" t="e">
        <f t="shared" si="2"/>
        <v>#NUM!</v>
      </c>
    </row>
    <row r="54" spans="1:8" x14ac:dyDescent="0.2">
      <c r="A54">
        <v>5</v>
      </c>
      <c r="B54" t="s">
        <v>12</v>
      </c>
      <c r="C54" t="s">
        <v>5</v>
      </c>
      <c r="D54" t="s">
        <v>26</v>
      </c>
      <c r="E54">
        <f t="shared" si="0"/>
        <v>155</v>
      </c>
      <c r="F54">
        <v>0.5</v>
      </c>
      <c r="G54">
        <f t="shared" si="1"/>
        <v>310</v>
      </c>
      <c r="H54">
        <f t="shared" si="2"/>
        <v>2.4913616938342726</v>
      </c>
    </row>
    <row r="55" spans="1:8" x14ac:dyDescent="0.2">
      <c r="A55">
        <v>5</v>
      </c>
      <c r="B55" t="s">
        <v>12</v>
      </c>
      <c r="C55" t="s">
        <v>7</v>
      </c>
      <c r="D55" t="s">
        <v>29</v>
      </c>
      <c r="E55">
        <f t="shared" si="0"/>
        <v>325</v>
      </c>
      <c r="F55">
        <v>0.5</v>
      </c>
      <c r="G55">
        <f t="shared" si="1"/>
        <v>650</v>
      </c>
      <c r="H55">
        <f t="shared" si="2"/>
        <v>2.8129133566428557</v>
      </c>
    </row>
    <row r="56" spans="1:8" x14ac:dyDescent="0.2">
      <c r="A56">
        <v>5</v>
      </c>
      <c r="B56" t="s">
        <v>12</v>
      </c>
      <c r="C56" t="s">
        <v>9</v>
      </c>
      <c r="D56" t="s">
        <v>30</v>
      </c>
      <c r="E56">
        <f t="shared" si="0"/>
        <v>500</v>
      </c>
      <c r="F56">
        <v>0.5</v>
      </c>
      <c r="G56">
        <f t="shared" si="1"/>
        <v>1000</v>
      </c>
      <c r="H56">
        <f t="shared" si="2"/>
        <v>3</v>
      </c>
    </row>
    <row r="57" spans="1:8" x14ac:dyDescent="0.2">
      <c r="A57">
        <v>5</v>
      </c>
      <c r="B57" t="s">
        <v>12</v>
      </c>
      <c r="C57" t="s">
        <v>11</v>
      </c>
      <c r="D57" t="s">
        <v>5</v>
      </c>
      <c r="E57">
        <f t="shared" si="0"/>
        <v>0</v>
      </c>
      <c r="F57">
        <v>0.5</v>
      </c>
      <c r="G57">
        <f t="shared" si="1"/>
        <v>0</v>
      </c>
      <c r="H57" t="e">
        <f t="shared" si="2"/>
        <v>#NUM!</v>
      </c>
    </row>
    <row r="58" spans="1:8" x14ac:dyDescent="0.2">
      <c r="A58">
        <v>5</v>
      </c>
      <c r="B58" t="s">
        <v>16</v>
      </c>
      <c r="C58" t="s">
        <v>5</v>
      </c>
      <c r="D58" t="s">
        <v>13</v>
      </c>
      <c r="E58" t="e">
        <f t="shared" si="0"/>
        <v>#VALUE!</v>
      </c>
      <c r="F58">
        <v>0.5</v>
      </c>
      <c r="G58" t="e">
        <f t="shared" si="1"/>
        <v>#VALUE!</v>
      </c>
      <c r="H58" t="e">
        <f t="shared" si="2"/>
        <v>#VALUE!</v>
      </c>
    </row>
    <row r="59" spans="1:8" x14ac:dyDescent="0.2">
      <c r="A59">
        <v>5</v>
      </c>
      <c r="B59" t="s">
        <v>16</v>
      </c>
      <c r="C59" t="s">
        <v>7</v>
      </c>
      <c r="D59" t="s">
        <v>31</v>
      </c>
      <c r="E59">
        <f t="shared" si="0"/>
        <v>1350</v>
      </c>
      <c r="F59">
        <v>0.5</v>
      </c>
      <c r="G59">
        <f t="shared" si="1"/>
        <v>2700</v>
      </c>
      <c r="H59">
        <f t="shared" si="2"/>
        <v>3.4313637641589874</v>
      </c>
    </row>
    <row r="60" spans="1:8" x14ac:dyDescent="0.2">
      <c r="A60">
        <v>5</v>
      </c>
      <c r="B60" t="s">
        <v>16</v>
      </c>
      <c r="C60" t="s">
        <v>9</v>
      </c>
      <c r="D60" t="s">
        <v>32</v>
      </c>
      <c r="E60">
        <f t="shared" si="0"/>
        <v>3250</v>
      </c>
      <c r="F60">
        <v>0.5</v>
      </c>
      <c r="G60">
        <f t="shared" si="1"/>
        <v>6500</v>
      </c>
      <c r="H60">
        <f t="shared" si="2"/>
        <v>3.8129133566428557</v>
      </c>
    </row>
    <row r="61" spans="1:8" x14ac:dyDescent="0.2">
      <c r="A61">
        <v>5</v>
      </c>
      <c r="B61" t="s">
        <v>16</v>
      </c>
      <c r="C61" t="s">
        <v>11</v>
      </c>
      <c r="D61" t="s">
        <v>11</v>
      </c>
      <c r="E61">
        <f t="shared" si="0"/>
        <v>1875</v>
      </c>
      <c r="F61">
        <v>0.5</v>
      </c>
      <c r="G61">
        <f t="shared" si="1"/>
        <v>3750</v>
      </c>
      <c r="H61">
        <f t="shared" si="2"/>
        <v>3.5740312677277188</v>
      </c>
    </row>
    <row r="62" spans="1:8" x14ac:dyDescent="0.2">
      <c r="A62">
        <v>6</v>
      </c>
      <c r="B62" t="s">
        <v>4</v>
      </c>
      <c r="C62" t="s">
        <v>5</v>
      </c>
      <c r="D62" t="s">
        <v>13</v>
      </c>
      <c r="E62" t="e">
        <f t="shared" si="0"/>
        <v>#VALUE!</v>
      </c>
      <c r="F62">
        <v>0.5</v>
      </c>
      <c r="G62" t="e">
        <f t="shared" si="1"/>
        <v>#VALUE!</v>
      </c>
      <c r="H62" t="e">
        <f t="shared" si="2"/>
        <v>#VALUE!</v>
      </c>
    </row>
    <row r="63" spans="1:8" x14ac:dyDescent="0.2">
      <c r="A63">
        <v>6</v>
      </c>
      <c r="B63" t="s">
        <v>4</v>
      </c>
      <c r="C63" t="s">
        <v>7</v>
      </c>
      <c r="D63" t="s">
        <v>33</v>
      </c>
      <c r="E63">
        <f t="shared" si="0"/>
        <v>1250</v>
      </c>
      <c r="F63">
        <v>0.5</v>
      </c>
      <c r="G63">
        <f t="shared" si="1"/>
        <v>2500</v>
      </c>
      <c r="H63">
        <f t="shared" si="2"/>
        <v>3.3979400086720375</v>
      </c>
    </row>
    <row r="64" spans="1:8" x14ac:dyDescent="0.2">
      <c r="A64">
        <v>6</v>
      </c>
      <c r="B64" t="s">
        <v>4</v>
      </c>
      <c r="C64" t="s">
        <v>9</v>
      </c>
      <c r="D64" t="s">
        <v>34</v>
      </c>
      <c r="E64">
        <f t="shared" si="0"/>
        <v>1500</v>
      </c>
      <c r="F64">
        <v>0.5</v>
      </c>
      <c r="G64">
        <f t="shared" si="1"/>
        <v>3000</v>
      </c>
      <c r="H64">
        <f t="shared" si="2"/>
        <v>3.4771212547196626</v>
      </c>
    </row>
    <row r="65" spans="1:8" x14ac:dyDescent="0.2">
      <c r="A65">
        <v>6</v>
      </c>
      <c r="B65" t="s">
        <v>4</v>
      </c>
      <c r="C65" t="s">
        <v>11</v>
      </c>
      <c r="D65" t="s">
        <v>9</v>
      </c>
      <c r="E65">
        <f t="shared" si="0"/>
        <v>1250</v>
      </c>
      <c r="F65">
        <v>0.5</v>
      </c>
      <c r="G65">
        <f t="shared" si="1"/>
        <v>2500</v>
      </c>
      <c r="H65">
        <f t="shared" si="2"/>
        <v>3.3979400086720375</v>
      </c>
    </row>
    <row r="66" spans="1:8" x14ac:dyDescent="0.2">
      <c r="A66">
        <v>6</v>
      </c>
      <c r="B66" t="s">
        <v>12</v>
      </c>
      <c r="C66" t="s">
        <v>5</v>
      </c>
      <c r="D66" t="s">
        <v>13</v>
      </c>
      <c r="E66" t="e">
        <f t="shared" si="0"/>
        <v>#VALUE!</v>
      </c>
      <c r="F66">
        <v>0.5</v>
      </c>
      <c r="G66" t="e">
        <f t="shared" si="1"/>
        <v>#VALUE!</v>
      </c>
      <c r="H66" t="e">
        <f t="shared" si="2"/>
        <v>#VALUE!</v>
      </c>
    </row>
    <row r="67" spans="1:8" x14ac:dyDescent="0.2">
      <c r="A67">
        <v>6</v>
      </c>
      <c r="B67" t="s">
        <v>12</v>
      </c>
      <c r="C67" t="s">
        <v>7</v>
      </c>
      <c r="D67" t="s">
        <v>13</v>
      </c>
      <c r="E67" t="e">
        <f t="shared" ref="E67:E121" si="3">D67*(5^C67)*10*0.5</f>
        <v>#VALUE!</v>
      </c>
      <c r="F67">
        <v>0.5</v>
      </c>
      <c r="G67" t="e">
        <f t="shared" ref="G67:G121" si="4">E67/F67</f>
        <v>#VALUE!</v>
      </c>
      <c r="H67" t="e">
        <f t="shared" ref="H67:H121" si="5">LOG(G67)</f>
        <v>#VALUE!</v>
      </c>
    </row>
    <row r="68" spans="1:8" x14ac:dyDescent="0.2">
      <c r="A68">
        <v>6</v>
      </c>
      <c r="B68" t="s">
        <v>12</v>
      </c>
      <c r="C68" t="s">
        <v>9</v>
      </c>
      <c r="D68" t="s">
        <v>35</v>
      </c>
      <c r="E68">
        <f t="shared" si="3"/>
        <v>2750</v>
      </c>
      <c r="F68">
        <v>0.5</v>
      </c>
      <c r="G68">
        <f t="shared" si="4"/>
        <v>5500</v>
      </c>
      <c r="H68">
        <f t="shared" si="5"/>
        <v>3.7403626894942437</v>
      </c>
    </row>
    <row r="69" spans="1:8" x14ac:dyDescent="0.2">
      <c r="A69">
        <v>6</v>
      </c>
      <c r="B69" t="s">
        <v>12</v>
      </c>
      <c r="C69" t="s">
        <v>11</v>
      </c>
      <c r="D69" t="s">
        <v>10</v>
      </c>
      <c r="E69">
        <f t="shared" si="3"/>
        <v>3125</v>
      </c>
      <c r="F69">
        <v>0.5</v>
      </c>
      <c r="G69">
        <f t="shared" si="4"/>
        <v>6250</v>
      </c>
      <c r="H69">
        <f t="shared" si="5"/>
        <v>3.7958800173440754</v>
      </c>
    </row>
    <row r="70" spans="1:8" x14ac:dyDescent="0.2">
      <c r="A70">
        <v>6</v>
      </c>
      <c r="B70" t="s">
        <v>16</v>
      </c>
      <c r="C70" t="s">
        <v>5</v>
      </c>
      <c r="D70" t="s">
        <v>13</v>
      </c>
      <c r="E70" t="e">
        <f t="shared" si="3"/>
        <v>#VALUE!</v>
      </c>
      <c r="F70">
        <v>0.5</v>
      </c>
      <c r="G70" t="e">
        <f t="shared" si="4"/>
        <v>#VALUE!</v>
      </c>
      <c r="H70" t="e">
        <f t="shared" si="5"/>
        <v>#VALUE!</v>
      </c>
    </row>
    <row r="71" spans="1:8" x14ac:dyDescent="0.2">
      <c r="A71">
        <v>6</v>
      </c>
      <c r="B71" t="s">
        <v>16</v>
      </c>
      <c r="C71" t="s">
        <v>7</v>
      </c>
      <c r="D71" t="s">
        <v>13</v>
      </c>
      <c r="E71" t="e">
        <f t="shared" si="3"/>
        <v>#VALUE!</v>
      </c>
      <c r="F71">
        <v>0.5</v>
      </c>
      <c r="G71" t="e">
        <f t="shared" si="4"/>
        <v>#VALUE!</v>
      </c>
      <c r="H71" t="e">
        <f t="shared" si="5"/>
        <v>#VALUE!</v>
      </c>
    </row>
    <row r="72" spans="1:8" x14ac:dyDescent="0.2">
      <c r="A72">
        <v>6</v>
      </c>
      <c r="B72" t="s">
        <v>16</v>
      </c>
      <c r="C72" t="s">
        <v>9</v>
      </c>
      <c r="D72" t="s">
        <v>13</v>
      </c>
      <c r="E72" t="e">
        <f t="shared" si="3"/>
        <v>#VALUE!</v>
      </c>
      <c r="F72">
        <v>0.5</v>
      </c>
      <c r="G72" t="e">
        <f t="shared" si="4"/>
        <v>#VALUE!</v>
      </c>
      <c r="H72" t="e">
        <f t="shared" si="5"/>
        <v>#VALUE!</v>
      </c>
    </row>
    <row r="73" spans="1:8" x14ac:dyDescent="0.2">
      <c r="A73">
        <v>6</v>
      </c>
      <c r="B73" t="s">
        <v>16</v>
      </c>
      <c r="C73" t="s">
        <v>11</v>
      </c>
      <c r="D73" t="s">
        <v>36</v>
      </c>
      <c r="E73">
        <f t="shared" si="3"/>
        <v>110625</v>
      </c>
      <c r="F73">
        <v>0.5</v>
      </c>
      <c r="G73">
        <f t="shared" si="4"/>
        <v>221250</v>
      </c>
      <c r="H73">
        <f t="shared" si="5"/>
        <v>5.3448832793698626</v>
      </c>
    </row>
    <row r="74" spans="1:8" x14ac:dyDescent="0.2">
      <c r="A74">
        <v>7</v>
      </c>
      <c r="B74" t="s">
        <v>4</v>
      </c>
      <c r="C74" t="s">
        <v>5</v>
      </c>
      <c r="D74" t="s">
        <v>20</v>
      </c>
      <c r="E74">
        <f t="shared" si="3"/>
        <v>160</v>
      </c>
      <c r="F74">
        <v>0.5</v>
      </c>
      <c r="G74">
        <f t="shared" si="4"/>
        <v>320</v>
      </c>
      <c r="H74">
        <f t="shared" si="5"/>
        <v>2.5051499783199058</v>
      </c>
    </row>
    <row r="75" spans="1:8" x14ac:dyDescent="0.2">
      <c r="A75">
        <v>7</v>
      </c>
      <c r="B75" t="s">
        <v>4</v>
      </c>
      <c r="C75" t="s">
        <v>7</v>
      </c>
      <c r="D75" t="s">
        <v>32</v>
      </c>
      <c r="E75">
        <f t="shared" si="3"/>
        <v>650</v>
      </c>
      <c r="F75">
        <v>0.5</v>
      </c>
      <c r="G75">
        <f t="shared" si="4"/>
        <v>1300</v>
      </c>
      <c r="H75">
        <f t="shared" si="5"/>
        <v>3.1139433523068369</v>
      </c>
    </row>
    <row r="76" spans="1:8" x14ac:dyDescent="0.2">
      <c r="A76">
        <v>7</v>
      </c>
      <c r="B76" t="s">
        <v>4</v>
      </c>
      <c r="C76" t="s">
        <v>9</v>
      </c>
      <c r="D76" t="s">
        <v>30</v>
      </c>
      <c r="E76">
        <f t="shared" si="3"/>
        <v>500</v>
      </c>
      <c r="F76">
        <v>0.5</v>
      </c>
      <c r="G76">
        <f t="shared" si="4"/>
        <v>1000</v>
      </c>
      <c r="H76">
        <f t="shared" si="5"/>
        <v>3</v>
      </c>
    </row>
    <row r="77" spans="1:8" x14ac:dyDescent="0.2">
      <c r="A77">
        <v>7</v>
      </c>
      <c r="B77" t="s">
        <v>4</v>
      </c>
      <c r="C77" t="s">
        <v>11</v>
      </c>
      <c r="D77" t="s">
        <v>7</v>
      </c>
      <c r="E77">
        <f t="shared" si="3"/>
        <v>625</v>
      </c>
      <c r="F77">
        <v>0.5</v>
      </c>
      <c r="G77">
        <f t="shared" si="4"/>
        <v>1250</v>
      </c>
      <c r="H77">
        <f t="shared" si="5"/>
        <v>3.0969100130080562</v>
      </c>
    </row>
    <row r="78" spans="1:8" x14ac:dyDescent="0.2">
      <c r="A78">
        <v>7</v>
      </c>
      <c r="B78" t="s">
        <v>12</v>
      </c>
      <c r="C78" t="s">
        <v>5</v>
      </c>
      <c r="D78" t="s">
        <v>37</v>
      </c>
      <c r="E78">
        <f t="shared" si="3"/>
        <v>200</v>
      </c>
      <c r="F78">
        <v>0.5</v>
      </c>
      <c r="G78">
        <f t="shared" si="4"/>
        <v>400</v>
      </c>
      <c r="H78">
        <f t="shared" si="5"/>
        <v>2.6020599913279625</v>
      </c>
    </row>
    <row r="79" spans="1:8" x14ac:dyDescent="0.2">
      <c r="A79">
        <v>7</v>
      </c>
      <c r="B79" t="s">
        <v>12</v>
      </c>
      <c r="C79" t="s">
        <v>7</v>
      </c>
      <c r="D79" t="s">
        <v>38</v>
      </c>
      <c r="E79">
        <f t="shared" si="3"/>
        <v>400</v>
      </c>
      <c r="F79">
        <v>0.5</v>
      </c>
      <c r="G79">
        <f t="shared" si="4"/>
        <v>800</v>
      </c>
      <c r="H79">
        <f t="shared" si="5"/>
        <v>2.9030899869919438</v>
      </c>
    </row>
    <row r="80" spans="1:8" x14ac:dyDescent="0.2">
      <c r="A80">
        <v>7</v>
      </c>
      <c r="B80" t="s">
        <v>12</v>
      </c>
      <c r="C80" t="s">
        <v>9</v>
      </c>
      <c r="D80" t="s">
        <v>10</v>
      </c>
      <c r="E80">
        <f t="shared" si="3"/>
        <v>625</v>
      </c>
      <c r="F80">
        <v>0.5</v>
      </c>
      <c r="G80">
        <f t="shared" si="4"/>
        <v>1250</v>
      </c>
      <c r="H80">
        <f t="shared" si="5"/>
        <v>3.0969100130080562</v>
      </c>
    </row>
    <row r="81" spans="1:8" x14ac:dyDescent="0.2">
      <c r="A81">
        <v>7</v>
      </c>
      <c r="B81" t="s">
        <v>12</v>
      </c>
      <c r="C81" t="s">
        <v>11</v>
      </c>
      <c r="D81" t="s">
        <v>7</v>
      </c>
      <c r="E81">
        <f t="shared" si="3"/>
        <v>625</v>
      </c>
      <c r="F81">
        <v>0.5</v>
      </c>
      <c r="G81">
        <f t="shared" si="4"/>
        <v>1250</v>
      </c>
      <c r="H81">
        <f t="shared" si="5"/>
        <v>3.0969100130080562</v>
      </c>
    </row>
    <row r="82" spans="1:8" x14ac:dyDescent="0.2">
      <c r="A82">
        <v>7</v>
      </c>
      <c r="B82" t="s">
        <v>16</v>
      </c>
      <c r="C82" t="s">
        <v>5</v>
      </c>
      <c r="D82" t="s">
        <v>39</v>
      </c>
      <c r="E82">
        <f t="shared" si="3"/>
        <v>340</v>
      </c>
      <c r="F82">
        <v>0.5</v>
      </c>
      <c r="G82">
        <f t="shared" si="4"/>
        <v>680</v>
      </c>
      <c r="H82">
        <f t="shared" si="5"/>
        <v>2.8325089127062362</v>
      </c>
    </row>
    <row r="83" spans="1:8" x14ac:dyDescent="0.2">
      <c r="A83">
        <v>7</v>
      </c>
      <c r="B83" t="s">
        <v>16</v>
      </c>
      <c r="C83" t="s">
        <v>7</v>
      </c>
      <c r="D83" t="s">
        <v>35</v>
      </c>
      <c r="E83">
        <f t="shared" si="3"/>
        <v>550</v>
      </c>
      <c r="F83">
        <v>0.5</v>
      </c>
      <c r="G83">
        <f t="shared" si="4"/>
        <v>1100</v>
      </c>
      <c r="H83">
        <f t="shared" si="5"/>
        <v>3.0413926851582249</v>
      </c>
    </row>
    <row r="84" spans="1:8" x14ac:dyDescent="0.2">
      <c r="A84">
        <v>7</v>
      </c>
      <c r="B84" t="s">
        <v>16</v>
      </c>
      <c r="C84" t="s">
        <v>9</v>
      </c>
      <c r="D84" t="s">
        <v>7</v>
      </c>
      <c r="E84">
        <f t="shared" si="3"/>
        <v>125</v>
      </c>
      <c r="F84">
        <v>0.5</v>
      </c>
      <c r="G84">
        <f t="shared" si="4"/>
        <v>250</v>
      </c>
      <c r="H84">
        <f t="shared" si="5"/>
        <v>2.3979400086720375</v>
      </c>
    </row>
    <row r="85" spans="1:8" x14ac:dyDescent="0.2">
      <c r="A85">
        <v>7</v>
      </c>
      <c r="B85" t="s">
        <v>16</v>
      </c>
      <c r="C85" t="s">
        <v>11</v>
      </c>
      <c r="D85" t="s">
        <v>5</v>
      </c>
      <c r="E85">
        <f t="shared" si="3"/>
        <v>0</v>
      </c>
      <c r="F85">
        <v>0.5</v>
      </c>
      <c r="G85">
        <f t="shared" si="4"/>
        <v>0</v>
      </c>
      <c r="H85" t="e">
        <f t="shared" si="5"/>
        <v>#NUM!</v>
      </c>
    </row>
    <row r="86" spans="1:8" x14ac:dyDescent="0.2">
      <c r="A86">
        <v>8</v>
      </c>
      <c r="B86" t="s">
        <v>4</v>
      </c>
      <c r="C86" t="s">
        <v>5</v>
      </c>
      <c r="D86" t="s">
        <v>13</v>
      </c>
      <c r="E86" t="e">
        <f t="shared" si="3"/>
        <v>#VALUE!</v>
      </c>
      <c r="F86">
        <v>0.5</v>
      </c>
      <c r="G86" t="e">
        <f t="shared" si="4"/>
        <v>#VALUE!</v>
      </c>
      <c r="H86" t="e">
        <f t="shared" si="5"/>
        <v>#VALUE!</v>
      </c>
    </row>
    <row r="87" spans="1:8" x14ac:dyDescent="0.2">
      <c r="A87">
        <v>8</v>
      </c>
      <c r="B87" t="s">
        <v>4</v>
      </c>
      <c r="C87" t="s">
        <v>7</v>
      </c>
      <c r="D87" t="s">
        <v>40</v>
      </c>
      <c r="E87">
        <f t="shared" si="3"/>
        <v>600</v>
      </c>
      <c r="F87">
        <v>0.5</v>
      </c>
      <c r="G87">
        <f t="shared" si="4"/>
        <v>1200</v>
      </c>
      <c r="H87">
        <f t="shared" si="5"/>
        <v>3.0791812460476247</v>
      </c>
    </row>
    <row r="88" spans="1:8" x14ac:dyDescent="0.2">
      <c r="A88">
        <v>8</v>
      </c>
      <c r="B88" t="s">
        <v>4</v>
      </c>
      <c r="C88" t="s">
        <v>9</v>
      </c>
      <c r="D88" t="s">
        <v>18</v>
      </c>
      <c r="E88">
        <f t="shared" si="3"/>
        <v>875</v>
      </c>
      <c r="F88">
        <v>0.5</v>
      </c>
      <c r="G88">
        <f t="shared" si="4"/>
        <v>1750</v>
      </c>
      <c r="H88">
        <f t="shared" si="5"/>
        <v>3.2430380486862944</v>
      </c>
    </row>
    <row r="89" spans="1:8" x14ac:dyDescent="0.2">
      <c r="A89">
        <v>8</v>
      </c>
      <c r="B89" t="s">
        <v>4</v>
      </c>
      <c r="C89" t="s">
        <v>11</v>
      </c>
      <c r="D89" t="s">
        <v>13</v>
      </c>
      <c r="E89" t="e">
        <f t="shared" si="3"/>
        <v>#VALUE!</v>
      </c>
      <c r="F89">
        <v>0.5</v>
      </c>
      <c r="G89" t="e">
        <f t="shared" si="4"/>
        <v>#VALUE!</v>
      </c>
      <c r="H89" t="e">
        <f t="shared" si="5"/>
        <v>#VALUE!</v>
      </c>
    </row>
    <row r="90" spans="1:8" x14ac:dyDescent="0.2">
      <c r="A90">
        <v>8</v>
      </c>
      <c r="B90" t="s">
        <v>12</v>
      </c>
      <c r="C90" t="s">
        <v>5</v>
      </c>
      <c r="D90" t="s">
        <v>41</v>
      </c>
      <c r="E90">
        <f t="shared" si="3"/>
        <v>100</v>
      </c>
      <c r="F90">
        <v>0.5</v>
      </c>
      <c r="G90">
        <f t="shared" si="4"/>
        <v>200</v>
      </c>
      <c r="H90">
        <f t="shared" si="5"/>
        <v>2.3010299956639813</v>
      </c>
    </row>
    <row r="91" spans="1:8" x14ac:dyDescent="0.2">
      <c r="A91">
        <v>8</v>
      </c>
      <c r="B91" t="s">
        <v>12</v>
      </c>
      <c r="C91" t="s">
        <v>7</v>
      </c>
      <c r="D91" t="s">
        <v>42</v>
      </c>
      <c r="E91">
        <f t="shared" si="3"/>
        <v>200</v>
      </c>
      <c r="F91">
        <v>0.5</v>
      </c>
      <c r="G91">
        <f t="shared" si="4"/>
        <v>400</v>
      </c>
      <c r="H91">
        <f t="shared" si="5"/>
        <v>2.6020599913279625</v>
      </c>
    </row>
    <row r="92" spans="1:8" x14ac:dyDescent="0.2">
      <c r="A92">
        <v>8</v>
      </c>
      <c r="B92" t="s">
        <v>12</v>
      </c>
      <c r="C92" t="s">
        <v>9</v>
      </c>
      <c r="D92" t="s">
        <v>5</v>
      </c>
      <c r="E92">
        <f t="shared" si="3"/>
        <v>0</v>
      </c>
      <c r="F92">
        <v>0.5</v>
      </c>
      <c r="G92">
        <f t="shared" si="4"/>
        <v>0</v>
      </c>
      <c r="H92" t="e">
        <f t="shared" si="5"/>
        <v>#NUM!</v>
      </c>
    </row>
    <row r="93" spans="1:8" x14ac:dyDescent="0.2">
      <c r="A93">
        <v>8</v>
      </c>
      <c r="B93" t="s">
        <v>12</v>
      </c>
      <c r="C93" t="s">
        <v>11</v>
      </c>
      <c r="D93" t="s">
        <v>7</v>
      </c>
      <c r="E93">
        <f t="shared" si="3"/>
        <v>625</v>
      </c>
      <c r="F93">
        <v>0.5</v>
      </c>
      <c r="G93">
        <f t="shared" si="4"/>
        <v>1250</v>
      </c>
      <c r="H93">
        <f t="shared" si="5"/>
        <v>3.0969100130080562</v>
      </c>
    </row>
    <row r="94" spans="1:8" x14ac:dyDescent="0.2">
      <c r="A94">
        <v>8</v>
      </c>
      <c r="B94" t="s">
        <v>16</v>
      </c>
      <c r="C94" t="s">
        <v>5</v>
      </c>
      <c r="D94" t="s">
        <v>13</v>
      </c>
      <c r="E94" t="e">
        <f t="shared" si="3"/>
        <v>#VALUE!</v>
      </c>
      <c r="F94">
        <v>0.5</v>
      </c>
      <c r="G94" t="e">
        <f t="shared" si="4"/>
        <v>#VALUE!</v>
      </c>
      <c r="H94" t="e">
        <f t="shared" si="5"/>
        <v>#VALUE!</v>
      </c>
    </row>
    <row r="95" spans="1:8" x14ac:dyDescent="0.2">
      <c r="A95">
        <v>8</v>
      </c>
      <c r="B95" t="s">
        <v>16</v>
      </c>
      <c r="C95" t="s">
        <v>7</v>
      </c>
      <c r="D95" t="s">
        <v>43</v>
      </c>
      <c r="E95">
        <f t="shared" si="3"/>
        <v>1725</v>
      </c>
      <c r="F95">
        <v>0.5</v>
      </c>
      <c r="G95">
        <f t="shared" si="4"/>
        <v>3450</v>
      </c>
      <c r="H95">
        <f t="shared" si="5"/>
        <v>3.537819095073274</v>
      </c>
    </row>
    <row r="96" spans="1:8" x14ac:dyDescent="0.2">
      <c r="A96">
        <v>8</v>
      </c>
      <c r="B96" t="s">
        <v>16</v>
      </c>
      <c r="C96" t="s">
        <v>9</v>
      </c>
      <c r="D96" t="s">
        <v>19</v>
      </c>
      <c r="E96">
        <f t="shared" si="3"/>
        <v>1750</v>
      </c>
      <c r="F96">
        <v>0.5</v>
      </c>
      <c r="G96">
        <f t="shared" si="4"/>
        <v>3500</v>
      </c>
      <c r="H96">
        <f t="shared" si="5"/>
        <v>3.5440680443502757</v>
      </c>
    </row>
    <row r="97" spans="1:8" x14ac:dyDescent="0.2">
      <c r="A97">
        <v>8</v>
      </c>
      <c r="B97" t="s">
        <v>16</v>
      </c>
      <c r="C97" t="s">
        <v>11</v>
      </c>
      <c r="D97" t="s">
        <v>30</v>
      </c>
      <c r="E97">
        <f t="shared" si="3"/>
        <v>2500</v>
      </c>
      <c r="F97">
        <v>0.5</v>
      </c>
      <c r="G97">
        <f t="shared" si="4"/>
        <v>5000</v>
      </c>
      <c r="H97">
        <f t="shared" si="5"/>
        <v>3.6989700043360187</v>
      </c>
    </row>
    <row r="98" spans="1:8" x14ac:dyDescent="0.2">
      <c r="A98">
        <v>9</v>
      </c>
      <c r="B98" t="s">
        <v>4</v>
      </c>
      <c r="C98" t="s">
        <v>5</v>
      </c>
      <c r="D98" t="s">
        <v>7</v>
      </c>
      <c r="E98">
        <f t="shared" si="3"/>
        <v>5</v>
      </c>
      <c r="F98">
        <v>0.5</v>
      </c>
      <c r="G98">
        <f t="shared" si="4"/>
        <v>10</v>
      </c>
      <c r="H98">
        <f t="shared" si="5"/>
        <v>1</v>
      </c>
    </row>
    <row r="99" spans="1:8" x14ac:dyDescent="0.2">
      <c r="A99">
        <v>9</v>
      </c>
      <c r="B99" t="s">
        <v>4</v>
      </c>
      <c r="C99" t="s">
        <v>7</v>
      </c>
      <c r="D99" t="s">
        <v>7</v>
      </c>
      <c r="E99">
        <f t="shared" si="3"/>
        <v>25</v>
      </c>
      <c r="F99">
        <v>0.5</v>
      </c>
      <c r="G99">
        <f t="shared" si="4"/>
        <v>50</v>
      </c>
      <c r="H99">
        <f t="shared" si="5"/>
        <v>1.6989700043360187</v>
      </c>
    </row>
    <row r="100" spans="1:8" x14ac:dyDescent="0.2">
      <c r="A100">
        <v>9</v>
      </c>
      <c r="B100" t="s">
        <v>4</v>
      </c>
      <c r="C100" t="s">
        <v>9</v>
      </c>
      <c r="D100" t="s">
        <v>5</v>
      </c>
      <c r="E100">
        <f t="shared" si="3"/>
        <v>0</v>
      </c>
      <c r="F100">
        <v>0.5</v>
      </c>
      <c r="G100">
        <f t="shared" si="4"/>
        <v>0</v>
      </c>
      <c r="H100" t="e">
        <f t="shared" si="5"/>
        <v>#NUM!</v>
      </c>
    </row>
    <row r="101" spans="1:8" x14ac:dyDescent="0.2">
      <c r="A101">
        <v>9</v>
      </c>
      <c r="B101" t="s">
        <v>4</v>
      </c>
      <c r="C101" t="s">
        <v>11</v>
      </c>
      <c r="D101" t="s">
        <v>5</v>
      </c>
      <c r="E101">
        <f t="shared" si="3"/>
        <v>0</v>
      </c>
      <c r="F101">
        <v>0.5</v>
      </c>
      <c r="G101">
        <f t="shared" si="4"/>
        <v>0</v>
      </c>
      <c r="H101" t="e">
        <f t="shared" si="5"/>
        <v>#NUM!</v>
      </c>
    </row>
    <row r="102" spans="1:8" x14ac:dyDescent="0.2">
      <c r="A102">
        <v>9</v>
      </c>
      <c r="B102" t="s">
        <v>12</v>
      </c>
      <c r="C102" t="s">
        <v>5</v>
      </c>
      <c r="D102" t="s">
        <v>7</v>
      </c>
      <c r="E102">
        <f t="shared" si="3"/>
        <v>5</v>
      </c>
      <c r="F102">
        <v>0.5</v>
      </c>
      <c r="G102">
        <f t="shared" si="4"/>
        <v>10</v>
      </c>
      <c r="H102">
        <f t="shared" si="5"/>
        <v>1</v>
      </c>
    </row>
    <row r="103" spans="1:8" x14ac:dyDescent="0.2">
      <c r="A103">
        <v>9</v>
      </c>
      <c r="B103" t="s">
        <v>12</v>
      </c>
      <c r="C103" t="s">
        <v>7</v>
      </c>
      <c r="D103" t="s">
        <v>5</v>
      </c>
      <c r="E103">
        <f t="shared" si="3"/>
        <v>0</v>
      </c>
      <c r="F103">
        <v>0.5</v>
      </c>
      <c r="G103">
        <f t="shared" si="4"/>
        <v>0</v>
      </c>
      <c r="H103" t="e">
        <f t="shared" si="5"/>
        <v>#NUM!</v>
      </c>
    </row>
    <row r="104" spans="1:8" x14ac:dyDescent="0.2">
      <c r="A104">
        <v>9</v>
      </c>
      <c r="B104" t="s">
        <v>12</v>
      </c>
      <c r="C104" t="s">
        <v>9</v>
      </c>
      <c r="D104" t="s">
        <v>5</v>
      </c>
      <c r="E104">
        <f t="shared" si="3"/>
        <v>0</v>
      </c>
      <c r="F104">
        <v>0.5</v>
      </c>
      <c r="G104">
        <f t="shared" si="4"/>
        <v>0</v>
      </c>
      <c r="H104" t="e">
        <f t="shared" si="5"/>
        <v>#NUM!</v>
      </c>
    </row>
    <row r="105" spans="1:8" x14ac:dyDescent="0.2">
      <c r="A105">
        <v>9</v>
      </c>
      <c r="B105" t="s">
        <v>12</v>
      </c>
      <c r="C105" t="s">
        <v>11</v>
      </c>
      <c r="D105" t="s">
        <v>5</v>
      </c>
      <c r="E105">
        <f t="shared" si="3"/>
        <v>0</v>
      </c>
      <c r="F105">
        <v>0.5</v>
      </c>
      <c r="G105">
        <f t="shared" si="4"/>
        <v>0</v>
      </c>
      <c r="H105" t="e">
        <f t="shared" si="5"/>
        <v>#NUM!</v>
      </c>
    </row>
    <row r="106" spans="1:8" x14ac:dyDescent="0.2">
      <c r="A106">
        <v>9</v>
      </c>
      <c r="B106" t="s">
        <v>16</v>
      </c>
      <c r="C106" t="s">
        <v>5</v>
      </c>
      <c r="D106" t="s">
        <v>37</v>
      </c>
      <c r="E106">
        <f t="shared" si="3"/>
        <v>200</v>
      </c>
      <c r="F106">
        <v>0.5</v>
      </c>
      <c r="G106">
        <f t="shared" si="4"/>
        <v>400</v>
      </c>
      <c r="H106">
        <f t="shared" si="5"/>
        <v>2.6020599913279625</v>
      </c>
    </row>
    <row r="107" spans="1:8" x14ac:dyDescent="0.2">
      <c r="A107">
        <v>9</v>
      </c>
      <c r="B107" t="s">
        <v>16</v>
      </c>
      <c r="C107" t="s">
        <v>7</v>
      </c>
      <c r="D107" t="s">
        <v>42</v>
      </c>
      <c r="E107">
        <f t="shared" si="3"/>
        <v>200</v>
      </c>
      <c r="F107">
        <v>0.5</v>
      </c>
      <c r="G107">
        <f t="shared" si="4"/>
        <v>400</v>
      </c>
      <c r="H107">
        <f t="shared" si="5"/>
        <v>2.6020599913279625</v>
      </c>
    </row>
    <row r="108" spans="1:8" x14ac:dyDescent="0.2">
      <c r="A108">
        <v>9</v>
      </c>
      <c r="B108" t="s">
        <v>16</v>
      </c>
      <c r="C108" t="s">
        <v>9</v>
      </c>
      <c r="D108" t="s">
        <v>5</v>
      </c>
      <c r="E108">
        <f t="shared" si="3"/>
        <v>0</v>
      </c>
      <c r="F108">
        <v>0.5</v>
      </c>
      <c r="G108">
        <f t="shared" si="4"/>
        <v>0</v>
      </c>
      <c r="H108" t="e">
        <f t="shared" si="5"/>
        <v>#NUM!</v>
      </c>
    </row>
    <row r="109" spans="1:8" x14ac:dyDescent="0.2">
      <c r="A109">
        <v>9</v>
      </c>
      <c r="B109" t="s">
        <v>16</v>
      </c>
      <c r="C109" t="s">
        <v>11</v>
      </c>
      <c r="D109" t="s">
        <v>5</v>
      </c>
      <c r="E109">
        <f t="shared" si="3"/>
        <v>0</v>
      </c>
      <c r="F109">
        <v>0.5</v>
      </c>
      <c r="G109">
        <f t="shared" si="4"/>
        <v>0</v>
      </c>
      <c r="H109" t="e">
        <f t="shared" si="5"/>
        <v>#NUM!</v>
      </c>
    </row>
    <row r="110" spans="1:8" x14ac:dyDescent="0.2">
      <c r="A110">
        <v>10</v>
      </c>
      <c r="B110" t="s">
        <v>4</v>
      </c>
      <c r="C110" t="s">
        <v>5</v>
      </c>
      <c r="D110" t="s">
        <v>5</v>
      </c>
      <c r="E110">
        <f t="shared" si="3"/>
        <v>0</v>
      </c>
      <c r="F110">
        <v>0.5</v>
      </c>
      <c r="G110">
        <f t="shared" si="4"/>
        <v>0</v>
      </c>
      <c r="H110" t="e">
        <f t="shared" si="5"/>
        <v>#NUM!</v>
      </c>
    </row>
    <row r="111" spans="1:8" x14ac:dyDescent="0.2">
      <c r="A111">
        <v>10</v>
      </c>
      <c r="B111" t="s">
        <v>4</v>
      </c>
      <c r="C111" t="s">
        <v>7</v>
      </c>
      <c r="D111" t="s">
        <v>44</v>
      </c>
      <c r="E111">
        <f t="shared" si="3"/>
        <v>700</v>
      </c>
      <c r="F111">
        <v>0.5</v>
      </c>
      <c r="G111">
        <f t="shared" si="4"/>
        <v>1400</v>
      </c>
      <c r="H111">
        <f t="shared" si="5"/>
        <v>3.1461280356782382</v>
      </c>
    </row>
    <row r="112" spans="1:8" x14ac:dyDescent="0.2">
      <c r="A112">
        <v>10</v>
      </c>
      <c r="B112" t="s">
        <v>4</v>
      </c>
      <c r="C112" t="s">
        <v>9</v>
      </c>
      <c r="D112" t="s">
        <v>10</v>
      </c>
      <c r="E112">
        <f t="shared" si="3"/>
        <v>625</v>
      </c>
      <c r="F112">
        <v>0.5</v>
      </c>
      <c r="G112">
        <f t="shared" si="4"/>
        <v>1250</v>
      </c>
      <c r="H112">
        <f t="shared" si="5"/>
        <v>3.0969100130080562</v>
      </c>
    </row>
    <row r="113" spans="1:8" x14ac:dyDescent="0.2">
      <c r="A113">
        <v>10</v>
      </c>
      <c r="B113" t="s">
        <v>4</v>
      </c>
      <c r="C113" t="s">
        <v>11</v>
      </c>
      <c r="D113" t="s">
        <v>5</v>
      </c>
      <c r="E113">
        <f t="shared" si="3"/>
        <v>0</v>
      </c>
      <c r="F113">
        <v>0.5</v>
      </c>
      <c r="G113">
        <f t="shared" si="4"/>
        <v>0</v>
      </c>
      <c r="H113" t="e">
        <f t="shared" si="5"/>
        <v>#NUM!</v>
      </c>
    </row>
    <row r="114" spans="1:8" x14ac:dyDescent="0.2">
      <c r="A114">
        <v>10</v>
      </c>
      <c r="B114" t="s">
        <v>12</v>
      </c>
      <c r="C114" t="s">
        <v>5</v>
      </c>
      <c r="D114" t="s">
        <v>13</v>
      </c>
      <c r="E114" t="e">
        <f t="shared" si="3"/>
        <v>#VALUE!</v>
      </c>
      <c r="F114">
        <v>0.5</v>
      </c>
      <c r="G114" t="e">
        <f t="shared" si="4"/>
        <v>#VALUE!</v>
      </c>
      <c r="H114" t="e">
        <f t="shared" si="5"/>
        <v>#VALUE!</v>
      </c>
    </row>
    <row r="115" spans="1:8" x14ac:dyDescent="0.2">
      <c r="A115">
        <v>10</v>
      </c>
      <c r="B115" t="s">
        <v>12</v>
      </c>
      <c r="C115" t="s">
        <v>7</v>
      </c>
      <c r="D115" t="s">
        <v>43</v>
      </c>
      <c r="E115">
        <f t="shared" si="3"/>
        <v>1725</v>
      </c>
      <c r="F115">
        <v>0.5</v>
      </c>
      <c r="G115">
        <f t="shared" si="4"/>
        <v>3450</v>
      </c>
      <c r="H115">
        <f t="shared" si="5"/>
        <v>3.537819095073274</v>
      </c>
    </row>
    <row r="116" spans="1:8" x14ac:dyDescent="0.2">
      <c r="A116">
        <v>10</v>
      </c>
      <c r="B116" t="s">
        <v>12</v>
      </c>
      <c r="C116" t="s">
        <v>9</v>
      </c>
      <c r="D116" t="s">
        <v>19</v>
      </c>
      <c r="E116">
        <f t="shared" si="3"/>
        <v>1750</v>
      </c>
      <c r="F116">
        <v>0.5</v>
      </c>
      <c r="G116">
        <f t="shared" si="4"/>
        <v>3500</v>
      </c>
      <c r="H116">
        <f t="shared" si="5"/>
        <v>3.5440680443502757</v>
      </c>
    </row>
    <row r="117" spans="1:8" x14ac:dyDescent="0.2">
      <c r="A117">
        <v>10</v>
      </c>
      <c r="B117" t="s">
        <v>12</v>
      </c>
      <c r="C117" t="s">
        <v>11</v>
      </c>
      <c r="D117" t="s">
        <v>11</v>
      </c>
      <c r="E117">
        <f t="shared" si="3"/>
        <v>1875</v>
      </c>
      <c r="F117">
        <v>0.5</v>
      </c>
      <c r="G117">
        <f t="shared" si="4"/>
        <v>3750</v>
      </c>
      <c r="H117">
        <f t="shared" si="5"/>
        <v>3.5740312677277188</v>
      </c>
    </row>
    <row r="118" spans="1:8" x14ac:dyDescent="0.2">
      <c r="A118">
        <v>10</v>
      </c>
      <c r="B118" t="s">
        <v>16</v>
      </c>
      <c r="C118" t="s">
        <v>5</v>
      </c>
      <c r="D118" t="s">
        <v>13</v>
      </c>
      <c r="E118" t="e">
        <f t="shared" si="3"/>
        <v>#VALUE!</v>
      </c>
      <c r="F118">
        <v>0.5</v>
      </c>
      <c r="G118" t="e">
        <f t="shared" si="4"/>
        <v>#VALUE!</v>
      </c>
      <c r="H118" t="e">
        <f t="shared" si="5"/>
        <v>#VALUE!</v>
      </c>
    </row>
    <row r="119" spans="1:8" x14ac:dyDescent="0.2">
      <c r="A119">
        <v>10</v>
      </c>
      <c r="B119" t="s">
        <v>16</v>
      </c>
      <c r="C119" t="s">
        <v>7</v>
      </c>
      <c r="D119" t="s">
        <v>13</v>
      </c>
      <c r="E119" t="e">
        <f t="shared" si="3"/>
        <v>#VALUE!</v>
      </c>
      <c r="F119">
        <v>0.5</v>
      </c>
      <c r="G119" t="e">
        <f t="shared" si="4"/>
        <v>#VALUE!</v>
      </c>
      <c r="H119" t="e">
        <f t="shared" si="5"/>
        <v>#VALUE!</v>
      </c>
    </row>
    <row r="120" spans="1:8" x14ac:dyDescent="0.2">
      <c r="A120">
        <v>10</v>
      </c>
      <c r="B120" t="s">
        <v>16</v>
      </c>
      <c r="C120" t="s">
        <v>9</v>
      </c>
      <c r="D120" t="s">
        <v>45</v>
      </c>
      <c r="E120">
        <f t="shared" si="3"/>
        <v>4250</v>
      </c>
      <c r="F120">
        <v>0.5</v>
      </c>
      <c r="G120">
        <f t="shared" si="4"/>
        <v>8500</v>
      </c>
      <c r="H120">
        <f t="shared" si="5"/>
        <v>3.9294189257142929</v>
      </c>
    </row>
    <row r="121" spans="1:8" x14ac:dyDescent="0.2">
      <c r="A121">
        <v>10</v>
      </c>
      <c r="B121" t="s">
        <v>16</v>
      </c>
      <c r="C121" t="s">
        <v>11</v>
      </c>
      <c r="D121" t="s">
        <v>10</v>
      </c>
      <c r="E121">
        <f t="shared" si="3"/>
        <v>3125</v>
      </c>
      <c r="F121">
        <v>0.5</v>
      </c>
      <c r="G121">
        <f t="shared" si="4"/>
        <v>6250</v>
      </c>
      <c r="H121">
        <f t="shared" si="5"/>
        <v>3.7958800173440754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2021-01-22T10:13:48Z</dcterms:created>
  <dcterms:modified xsi:type="dcterms:W3CDTF">2021-01-25T02:13:52Z</dcterms:modified>
</cp:coreProperties>
</file>